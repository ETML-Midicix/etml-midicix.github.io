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activeX/activeX1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mveng\Desktop\101-WebStatique\b-UnitesEnseignement\03-htmlCss\exercices\06-Poisson\"/>
    </mc:Choice>
  </mc:AlternateContent>
  <bookViews>
    <workbookView xWindow="0" yWindow="0" windowWidth="28800" windowHeight="12300" tabRatio="801"/>
  </bookViews>
  <sheets>
    <sheet name="Intro" sheetId="35" r:id="rId1"/>
    <sheet name="Grille" sheetId="38" r:id="rId2"/>
  </sheets>
  <calcPr calcId="162913"/>
</workbook>
</file>

<file path=xl/calcChain.xml><?xml version="1.0" encoding="utf-8"?>
<calcChain xmlns="http://schemas.openxmlformats.org/spreadsheetml/2006/main">
  <c r="C8" i="38" l="1"/>
  <c r="B8" i="38"/>
  <c r="E17" i="35" l="1"/>
  <c r="E11" i="35"/>
  <c r="E19" i="35"/>
  <c r="E13" i="35"/>
  <c r="E20" i="35"/>
  <c r="E7" i="35"/>
  <c r="E12" i="35"/>
  <c r="E10" i="35"/>
  <c r="E8" i="35"/>
  <c r="E21" i="35"/>
  <c r="E18" i="35"/>
  <c r="E16" i="35"/>
  <c r="E15" i="35"/>
  <c r="E14" i="35"/>
  <c r="E9" i="35" l="1"/>
  <c r="E6" i="35"/>
  <c r="B4" i="38" l="1"/>
  <c r="B3" i="38" s="1"/>
  <c r="C4" i="38" l="1"/>
  <c r="C3" i="38" s="1"/>
  <c r="D2" i="38" l="1"/>
  <c r="E22" i="35" l="1"/>
  <c r="E23" i="35"/>
  <c r="E24" i="35"/>
  <c r="E25" i="35"/>
  <c r="E26" i="35"/>
  <c r="E27" i="35"/>
  <c r="E28" i="35"/>
  <c r="E29" i="35"/>
  <c r="E30" i="35"/>
  <c r="C31" i="35" l="1"/>
  <c r="E31" i="35"/>
</calcChain>
</file>

<file path=xl/sharedStrings.xml><?xml version="1.0" encoding="utf-8"?>
<sst xmlns="http://schemas.openxmlformats.org/spreadsheetml/2006/main" count="33" uniqueCount="33">
  <si>
    <t>Obtenus</t>
  </si>
  <si>
    <t>POINTS</t>
  </si>
  <si>
    <t>Module 303 - Programmer dans un cadre prescrit (basé objets)</t>
  </si>
  <si>
    <t>Interpréter la donnée, implémenter, documenter et tester celle-ci à l'aide d'un langage de programmation RAD (Rapid Application Development)</t>
  </si>
  <si>
    <t>Nom</t>
  </si>
  <si>
    <t>Prénom</t>
  </si>
  <si>
    <t>Note</t>
  </si>
  <si>
    <t>Liste des candidats</t>
  </si>
  <si>
    <t>Bonus</t>
  </si>
  <si>
    <t>Max</t>
  </si>
  <si>
    <t>Remarques</t>
  </si>
  <si>
    <t xml:space="preserve">Indentation </t>
  </si>
  <si>
    <t>Normes w3C respectée</t>
  </si>
  <si>
    <t>Attribution des points</t>
  </si>
  <si>
    <t>Rubik</t>
  </si>
  <si>
    <t>Site centré</t>
  </si>
  <si>
    <t>Site avec marge de 20px en haut</t>
  </si>
  <si>
    <t>Logo transparent + alt</t>
  </si>
  <si>
    <t>Tous les textes en arial + police par défaut</t>
  </si>
  <si>
    <t>Site à 980px</t>
  </si>
  <si>
    <t>Les couleurs sont selon la copie d'écran</t>
  </si>
  <si>
    <t>Points communs</t>
  </si>
  <si>
    <t>Points négatifs</t>
  </si>
  <si>
    <t>Arrondi</t>
  </si>
  <si>
    <t>L'entête est présente sur chaque page et est pertinente</t>
  </si>
  <si>
    <t>Border autour du site 3px solid noir</t>
  </si>
  <si>
    <t>Logo 2 transparent + alt</t>
  </si>
  <si>
    <t>Lien sur le logo ( retour par accueil) 2x</t>
  </si>
  <si>
    <t>A côté du logo, h1 en rouge (L'Univers...) et centrer par rapport aux logos</t>
  </si>
  <si>
    <t>Un texte et une image à côté</t>
  </si>
  <si>
    <t>Lien Source en noir et rouge avec bon lien</t>
  </si>
  <si>
    <t>Les deux liens sont fonctionnels</t>
  </si>
  <si>
    <t>Lien du footer en blanc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</si>
</sst>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0"/>
      <name val="Arial"/>
    </font>
    <font>
      <sz val="8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8"/>
      <name val="Comic Sans MS"/>
      <family val="4"/>
    </font>
    <font>
      <sz val="11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0" fillId="2" borderId="0" xfId="0" applyFont="1" applyFill="1" applyAlignment="1" applyProtection="1">
      <alignment vertical="center"/>
    </xf>
    <xf numFmtId="0" fontId="8" fillId="0" borderId="0" xfId="0" applyFont="1" applyFill="1" applyBorder="1" applyAlignment="1" applyProtection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vertical="center" wrapText="1"/>
    </xf>
    <xf numFmtId="0" fontId="11" fillId="3" borderId="0" xfId="0" applyFont="1" applyFill="1" applyAlignment="1" applyProtection="1">
      <alignment vertical="center"/>
    </xf>
    <xf numFmtId="0" fontId="11" fillId="4" borderId="0" xfId="0" applyFont="1" applyFill="1" applyAlignment="1" applyProtection="1">
      <alignment horizontal="center" vertical="center"/>
    </xf>
    <xf numFmtId="0" fontId="11" fillId="2" borderId="0" xfId="0" applyFont="1" applyFill="1" applyAlignment="1" applyProtection="1">
      <alignment vertical="center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vertical="center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</xf>
    <xf numFmtId="2" fontId="7" fillId="4" borderId="0" xfId="0" applyNumberFormat="1" applyFont="1" applyFill="1" applyBorder="1" applyAlignment="1" applyProtection="1">
      <alignment horizontal="center" vertical="center" wrapText="1"/>
    </xf>
    <xf numFmtId="164" fontId="6" fillId="5" borderId="0" xfId="0" applyNumberFormat="1" applyFont="1" applyFill="1" applyAlignment="1" applyProtection="1">
      <alignment horizontal="center" vertical="center"/>
    </xf>
    <xf numFmtId="2" fontId="7" fillId="4" borderId="0" xfId="0" applyNumberFormat="1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wrapText="1"/>
    </xf>
    <xf numFmtId="0" fontId="11" fillId="6" borderId="0" xfId="0" applyFont="1" applyFill="1" applyAlignment="1" applyProtection="1">
      <alignment horizontal="center" vertical="center"/>
    </xf>
    <xf numFmtId="2" fontId="7" fillId="6" borderId="0" xfId="0" applyNumberFormat="1" applyFont="1" applyFill="1" applyBorder="1" applyAlignment="1" applyProtection="1">
      <alignment horizontal="center" vertical="center" wrapText="1"/>
    </xf>
    <xf numFmtId="2" fontId="7" fillId="6" borderId="0" xfId="0" applyNumberFormat="1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0" fillId="0" borderId="0" xfId="0"/>
    <xf numFmtId="0" fontId="2" fillId="0" borderId="1" xfId="0" applyFont="1" applyBorder="1" applyAlignment="1" applyProtection="1">
      <alignment vertical="center"/>
    </xf>
    <xf numFmtId="0" fontId="2" fillId="0" borderId="2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horizontal="right" vertical="center"/>
    </xf>
    <xf numFmtId="0" fontId="3" fillId="0" borderId="9" xfId="0" applyFont="1" applyBorder="1" applyAlignment="1" applyProtection="1">
      <alignment vertical="center"/>
    </xf>
    <xf numFmtId="0" fontId="2" fillId="0" borderId="10" xfId="0" applyFont="1" applyBorder="1" applyAlignment="1" applyProtection="1">
      <alignment horizontal="right" vertical="center"/>
    </xf>
    <xf numFmtId="0" fontId="12" fillId="0" borderId="0" xfId="0" applyFont="1" applyBorder="1" applyAlignment="1" applyProtection="1">
      <alignment vertical="center"/>
    </xf>
    <xf numFmtId="0" fontId="2" fillId="0" borderId="11" xfId="0" applyFont="1" applyBorder="1" applyAlignment="1" applyProtection="1">
      <alignment horizontal="right" vertical="center"/>
    </xf>
    <xf numFmtId="0" fontId="13" fillId="0" borderId="0" xfId="0" applyFont="1" applyAlignment="1" applyProtection="1">
      <alignment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3" fillId="0" borderId="12" xfId="0" quotePrefix="1" applyFont="1" applyBorder="1" applyAlignment="1" applyProtection="1">
      <alignment vertical="center" wrapText="1"/>
    </xf>
    <xf numFmtId="0" fontId="13" fillId="0" borderId="0" xfId="0" applyFont="1" applyAlignment="1" applyProtection="1">
      <alignment horizontal="center" vertical="center" wrapText="1"/>
    </xf>
    <xf numFmtId="0" fontId="2" fillId="0" borderId="15" xfId="0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3" fillId="0" borderId="22" xfId="0" quotePrefix="1" applyFont="1" applyBorder="1" applyAlignment="1" applyProtection="1">
      <alignment vertical="center"/>
    </xf>
    <xf numFmtId="0" fontId="2" fillId="0" borderId="23" xfId="0" applyFont="1" applyBorder="1" applyAlignment="1" applyProtection="1">
      <alignment vertical="center"/>
      <protection locked="0"/>
    </xf>
    <xf numFmtId="0" fontId="2" fillId="0" borderId="24" xfId="0" applyFont="1" applyBorder="1" applyAlignment="1" applyProtection="1">
      <alignment vertical="center" wrapText="1"/>
      <protection locked="0"/>
    </xf>
    <xf numFmtId="0" fontId="2" fillId="0" borderId="25" xfId="0" applyFont="1" applyBorder="1" applyAlignment="1" applyProtection="1">
      <alignment vertical="center"/>
      <protection locked="0"/>
    </xf>
    <xf numFmtId="0" fontId="2" fillId="0" borderId="10" xfId="0" applyFont="1" applyBorder="1" applyAlignment="1" applyProtection="1">
      <alignment horizontal="right" vertical="center" wrapText="1"/>
    </xf>
    <xf numFmtId="0" fontId="0" fillId="0" borderId="26" xfId="0" applyBorder="1" applyProtection="1"/>
    <xf numFmtId="0" fontId="0" fillId="0" borderId="26" xfId="0" applyBorder="1" applyAlignment="1" applyProtection="1">
      <alignment wrapText="1"/>
    </xf>
    <xf numFmtId="0" fontId="2" fillId="0" borderId="10" xfId="0" applyFont="1" applyBorder="1" applyAlignment="1" applyProtection="1">
      <alignment horizontal="center" vertical="center"/>
    </xf>
    <xf numFmtId="0" fontId="2" fillId="0" borderId="27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4</xdr:row>
          <xdr:rowOff>22860</xdr:rowOff>
        </xdr:from>
        <xdr:to>
          <xdr:col>5</xdr:col>
          <xdr:colOff>1676400</xdr:colOff>
          <xdr:row>6</xdr:row>
          <xdr:rowOff>121920</xdr:rowOff>
        </xdr:to>
        <xdr:sp macro="" textlink="">
          <xdr:nvSpPr>
            <xdr:cNvPr id="6147" name="btnGenerationStudent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F31"/>
  <sheetViews>
    <sheetView tabSelected="1" zoomScale="130" zoomScaleNormal="130" workbookViewId="0">
      <selection activeCell="C6" sqref="C6"/>
    </sheetView>
  </sheetViews>
  <sheetFormatPr baseColWidth="10" defaultColWidth="11.44140625" defaultRowHeight="13.8" x14ac:dyDescent="0.25"/>
  <cols>
    <col min="1" max="1" width="25.6640625" style="8" customWidth="1"/>
    <col min="2" max="2" width="25.6640625" style="9" customWidth="1"/>
    <col min="3" max="4" width="16.33203125" style="11" customWidth="1"/>
    <col min="5" max="5" width="25.6640625" style="12" customWidth="1"/>
    <col min="6" max="6" width="25.6640625" style="7" customWidth="1"/>
    <col min="7" max="7" width="25.6640625" style="3" customWidth="1"/>
    <col min="8" max="8" width="10.5546875" style="3" customWidth="1"/>
    <col min="9" max="16384" width="11.44140625" style="3"/>
  </cols>
  <sheetData>
    <row r="1" spans="1:6" s="7" customFormat="1" x14ac:dyDescent="0.25">
      <c r="A1" s="15" t="s">
        <v>2</v>
      </c>
      <c r="B1" s="16"/>
      <c r="C1" s="17"/>
      <c r="D1" s="17"/>
      <c r="E1" s="1"/>
      <c r="F1" s="2"/>
    </row>
    <row r="2" spans="1:6" s="7" customFormat="1" x14ac:dyDescent="0.25">
      <c r="A2" s="4" t="s">
        <v>3</v>
      </c>
      <c r="B2" s="16"/>
      <c r="C2" s="17"/>
      <c r="D2" s="17"/>
      <c r="E2" s="2"/>
      <c r="F2" s="2"/>
    </row>
    <row r="3" spans="1:6" x14ac:dyDescent="0.25">
      <c r="A3" s="3"/>
      <c r="B3" s="3"/>
      <c r="C3" s="5"/>
      <c r="D3" s="5"/>
      <c r="E3" s="3"/>
      <c r="F3" s="3"/>
    </row>
    <row r="4" spans="1:6" x14ac:dyDescent="0.25">
      <c r="A4" s="21" t="s">
        <v>7</v>
      </c>
      <c r="B4" s="3"/>
      <c r="C4" s="5"/>
      <c r="D4" s="5"/>
      <c r="E4" s="3"/>
      <c r="F4" s="3"/>
    </row>
    <row r="5" spans="1:6" s="7" customFormat="1" x14ac:dyDescent="0.25">
      <c r="A5" s="13" t="s">
        <v>5</v>
      </c>
      <c r="B5" s="13" t="s">
        <v>4</v>
      </c>
      <c r="C5" s="14" t="s">
        <v>6</v>
      </c>
      <c r="D5" s="28" t="s">
        <v>8</v>
      </c>
      <c r="E5" s="6" t="s">
        <v>23</v>
      </c>
    </row>
    <row r="6" spans="1:6" s="8" customFormat="1" ht="12" x14ac:dyDescent="0.25">
      <c r="A6" s="18"/>
      <c r="B6" s="18"/>
      <c r="C6" s="22"/>
      <c r="D6" s="29">
        <v>0</v>
      </c>
      <c r="E6" s="23">
        <f>ROUND(C6,2)</f>
        <v>0</v>
      </c>
    </row>
    <row r="7" spans="1:6" s="8" customFormat="1" ht="12" x14ac:dyDescent="0.25">
      <c r="A7" s="18"/>
      <c r="B7" s="18"/>
      <c r="C7" s="22"/>
      <c r="D7" s="29">
        <v>0</v>
      </c>
      <c r="E7" s="23">
        <f t="shared" ref="E7:E21" si="0">ROUND(C7,2)</f>
        <v>0</v>
      </c>
    </row>
    <row r="8" spans="1:6" s="8" customFormat="1" ht="12" x14ac:dyDescent="0.25">
      <c r="A8" s="18"/>
      <c r="B8" s="18"/>
      <c r="C8" s="22"/>
      <c r="D8" s="29">
        <v>0</v>
      </c>
      <c r="E8" s="23">
        <f t="shared" si="0"/>
        <v>0</v>
      </c>
    </row>
    <row r="9" spans="1:6" s="8" customFormat="1" ht="12" x14ac:dyDescent="0.25">
      <c r="A9" s="18"/>
      <c r="B9" s="18"/>
      <c r="C9" s="22"/>
      <c r="D9" s="29">
        <v>0</v>
      </c>
      <c r="E9" s="23">
        <f t="shared" si="0"/>
        <v>0</v>
      </c>
    </row>
    <row r="10" spans="1:6" s="8" customFormat="1" ht="12" x14ac:dyDescent="0.25">
      <c r="A10" s="18"/>
      <c r="B10" s="18"/>
      <c r="C10" s="22"/>
      <c r="D10" s="29">
        <v>0</v>
      </c>
      <c r="E10" s="23">
        <f t="shared" si="0"/>
        <v>0</v>
      </c>
    </row>
    <row r="11" spans="1:6" s="8" customFormat="1" ht="12" x14ac:dyDescent="0.25">
      <c r="A11" s="18"/>
      <c r="B11" s="18"/>
      <c r="C11" s="22"/>
      <c r="D11" s="29">
        <v>0</v>
      </c>
      <c r="E11" s="23">
        <f t="shared" si="0"/>
        <v>0</v>
      </c>
    </row>
    <row r="12" spans="1:6" s="8" customFormat="1" ht="12" x14ac:dyDescent="0.25">
      <c r="A12" s="18"/>
      <c r="B12" s="18"/>
      <c r="C12" s="24"/>
      <c r="D12" s="29">
        <v>0</v>
      </c>
      <c r="E12" s="23">
        <f t="shared" si="0"/>
        <v>0</v>
      </c>
    </row>
    <row r="13" spans="1:6" s="8" customFormat="1" ht="12" x14ac:dyDescent="0.25">
      <c r="A13" s="18"/>
      <c r="B13" s="18"/>
      <c r="C13" s="24"/>
      <c r="D13" s="29">
        <v>0</v>
      </c>
      <c r="E13" s="23">
        <f t="shared" si="0"/>
        <v>0</v>
      </c>
    </row>
    <row r="14" spans="1:6" s="8" customFormat="1" ht="12" x14ac:dyDescent="0.25">
      <c r="A14" s="18"/>
      <c r="B14" s="18"/>
      <c r="C14" s="24"/>
      <c r="D14" s="29">
        <v>0</v>
      </c>
      <c r="E14" s="23">
        <f t="shared" si="0"/>
        <v>0</v>
      </c>
    </row>
    <row r="15" spans="1:6" s="8" customFormat="1" ht="12" x14ac:dyDescent="0.25">
      <c r="A15" s="18"/>
      <c r="B15" s="18"/>
      <c r="C15" s="24"/>
      <c r="D15" s="29">
        <v>0</v>
      </c>
      <c r="E15" s="23">
        <f t="shared" si="0"/>
        <v>0</v>
      </c>
    </row>
    <row r="16" spans="1:6" s="8" customFormat="1" ht="12" x14ac:dyDescent="0.25">
      <c r="A16" s="18"/>
      <c r="B16" s="18"/>
      <c r="C16" s="24"/>
      <c r="D16" s="29">
        <v>0</v>
      </c>
      <c r="E16" s="23">
        <f t="shared" si="0"/>
        <v>0</v>
      </c>
    </row>
    <row r="17" spans="1:5" s="8" customFormat="1" ht="12" x14ac:dyDescent="0.25">
      <c r="A17" s="18"/>
      <c r="B17" s="18"/>
      <c r="C17" s="24"/>
      <c r="D17" s="29">
        <v>0</v>
      </c>
      <c r="E17" s="23">
        <f t="shared" si="0"/>
        <v>0</v>
      </c>
    </row>
    <row r="18" spans="1:5" s="8" customFormat="1" ht="12" x14ac:dyDescent="0.25">
      <c r="A18" s="18"/>
      <c r="B18" s="18"/>
      <c r="C18" s="24"/>
      <c r="D18" s="29">
        <v>0</v>
      </c>
      <c r="E18" s="23">
        <f t="shared" si="0"/>
        <v>0</v>
      </c>
    </row>
    <row r="19" spans="1:5" s="8" customFormat="1" ht="12" x14ac:dyDescent="0.25">
      <c r="A19" s="18"/>
      <c r="B19" s="18"/>
      <c r="C19" s="24"/>
      <c r="D19" s="29">
        <v>0</v>
      </c>
      <c r="E19" s="23">
        <f t="shared" si="0"/>
        <v>0</v>
      </c>
    </row>
    <row r="20" spans="1:5" s="8" customFormat="1" ht="12" x14ac:dyDescent="0.25">
      <c r="A20" s="18"/>
      <c r="B20" s="18"/>
      <c r="C20" s="24"/>
      <c r="D20" s="29">
        <v>0</v>
      </c>
      <c r="E20" s="23">
        <f t="shared" si="0"/>
        <v>0</v>
      </c>
    </row>
    <row r="21" spans="1:5" s="8" customFormat="1" ht="12" x14ac:dyDescent="0.25">
      <c r="A21" s="18"/>
      <c r="B21" s="18"/>
      <c r="C21" s="24"/>
      <c r="D21" s="29">
        <v>0</v>
      </c>
      <c r="E21" s="23">
        <f t="shared" si="0"/>
        <v>0</v>
      </c>
    </row>
    <row r="22" spans="1:5" s="8" customFormat="1" ht="12" x14ac:dyDescent="0.25">
      <c r="A22" s="18"/>
      <c r="B22" s="20"/>
      <c r="C22" s="24"/>
      <c r="D22" s="30"/>
      <c r="E22" s="23" t="str">
        <f t="shared" ref="E22:E30" si="1">IF(C22&lt;&gt;"",MROUND(C22+D22,0.5),"")</f>
        <v/>
      </c>
    </row>
    <row r="23" spans="1:5" s="8" customFormat="1" ht="12" x14ac:dyDescent="0.25">
      <c r="A23" s="18"/>
      <c r="B23" s="20"/>
      <c r="C23" s="24"/>
      <c r="D23" s="30"/>
      <c r="E23" s="23" t="str">
        <f t="shared" si="1"/>
        <v/>
      </c>
    </row>
    <row r="24" spans="1:5" s="8" customFormat="1" ht="12" x14ac:dyDescent="0.25">
      <c r="A24" s="18"/>
      <c r="B24" s="20"/>
      <c r="C24" s="24"/>
      <c r="D24" s="30"/>
      <c r="E24" s="23" t="str">
        <f t="shared" si="1"/>
        <v/>
      </c>
    </row>
    <row r="25" spans="1:5" s="8" customFormat="1" ht="12" x14ac:dyDescent="0.25">
      <c r="A25" s="18"/>
      <c r="B25" s="20"/>
      <c r="C25" s="24"/>
      <c r="D25" s="30"/>
      <c r="E25" s="23" t="str">
        <f t="shared" si="1"/>
        <v/>
      </c>
    </row>
    <row r="26" spans="1:5" s="8" customFormat="1" ht="12" x14ac:dyDescent="0.25">
      <c r="A26" s="18"/>
      <c r="B26" s="20"/>
      <c r="C26" s="24"/>
      <c r="D26" s="30"/>
      <c r="E26" s="23" t="str">
        <f t="shared" si="1"/>
        <v/>
      </c>
    </row>
    <row r="27" spans="1:5" s="8" customFormat="1" ht="12" x14ac:dyDescent="0.25">
      <c r="A27" s="18"/>
      <c r="B27" s="20"/>
      <c r="C27" s="24"/>
      <c r="D27" s="30"/>
      <c r="E27" s="23" t="str">
        <f t="shared" si="1"/>
        <v/>
      </c>
    </row>
    <row r="28" spans="1:5" s="8" customFormat="1" ht="12" x14ac:dyDescent="0.25">
      <c r="A28" s="18"/>
      <c r="B28" s="20"/>
      <c r="C28" s="24"/>
      <c r="D28" s="30"/>
      <c r="E28" s="23" t="str">
        <f t="shared" si="1"/>
        <v/>
      </c>
    </row>
    <row r="29" spans="1:5" s="8" customFormat="1" ht="12" x14ac:dyDescent="0.25">
      <c r="A29" s="18"/>
      <c r="B29" s="19"/>
      <c r="C29" s="25"/>
      <c r="D29" s="31"/>
      <c r="E29" s="23" t="str">
        <f t="shared" si="1"/>
        <v/>
      </c>
    </row>
    <row r="30" spans="1:5" s="8" customFormat="1" ht="12" x14ac:dyDescent="0.25">
      <c r="A30" s="18"/>
      <c r="B30" s="19"/>
      <c r="C30" s="25"/>
      <c r="D30" s="31"/>
      <c r="E30" s="23" t="str">
        <f t="shared" si="1"/>
        <v/>
      </c>
    </row>
    <row r="31" spans="1:5" s="8" customFormat="1" ht="12" x14ac:dyDescent="0.25">
      <c r="B31" s="9"/>
      <c r="C31" s="10" t="e">
        <f>AVERAGE(C6:C30)</f>
        <v>#DIV/0!</v>
      </c>
      <c r="D31" s="10"/>
      <c r="E31" s="10">
        <f>AVERAGE(E6:E30)</f>
        <v>0</v>
      </c>
    </row>
  </sheetData>
  <sheetProtection sheet="1" scenarios="1"/>
  <dataValidations count="1">
    <dataValidation type="list" allowBlank="1" showInputMessage="1" showErrorMessage="1" sqref="C1:D2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orientation="landscape" r:id="rId1"/>
  <headerFooter alignWithMargins="0">
    <oddHeader>&amp;L&amp;"ETML,Normal"&amp;14&amp;G&amp;C&amp;"Comic Sans MS,Gras"&amp;12&amp;A&amp;R&amp;"Comic Sans MS,Gras"&amp;16I-ch 303</oddHeader>
    <oddFooter>&amp;L&amp;"Comic Sans MS,Normal"&amp;F&amp;R&amp;"Comic Sans MS,Normal"&amp;D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7" r:id="rId5" name="btnGenerationStudent">
          <controlPr defaultSize="0" autoLine="0" r:id="rId6">
            <anchor moveWithCells="1">
              <from>
                <xdr:col>5</xdr:col>
                <xdr:colOff>175260</xdr:colOff>
                <xdr:row>4</xdr:row>
                <xdr:rowOff>22860</xdr:rowOff>
              </from>
              <to>
                <xdr:col>5</xdr:col>
                <xdr:colOff>1676400</xdr:colOff>
                <xdr:row>6</xdr:row>
                <xdr:rowOff>114300</xdr:rowOff>
              </to>
            </anchor>
          </controlPr>
        </control>
      </mc:Choice>
      <mc:Fallback>
        <control shapeId="6147" r:id="rId5" name="btnGenerationStud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I24"/>
  <sheetViews>
    <sheetView zoomScaleNormal="100" workbookViewId="0">
      <selection activeCell="B23" sqref="B23"/>
    </sheetView>
  </sheetViews>
  <sheetFormatPr baseColWidth="10" defaultColWidth="11.44140625" defaultRowHeight="13.2" x14ac:dyDescent="0.25"/>
  <cols>
    <col min="1" max="1" width="71.6640625" style="26" customWidth="1"/>
    <col min="2" max="2" width="6.44140625" style="26" bestFit="1" customWidth="1"/>
    <col min="3" max="3" width="11.44140625" style="26"/>
    <col min="4" max="4" width="60.6640625" style="27" customWidth="1"/>
    <col min="5" max="5" width="94.33203125" style="26" customWidth="1"/>
    <col min="6" max="16384" width="11.44140625" style="26"/>
  </cols>
  <sheetData>
    <row r="1" spans="1:9" ht="16.2" x14ac:dyDescent="0.25">
      <c r="A1" s="33"/>
      <c r="B1" s="69" t="s">
        <v>1</v>
      </c>
      <c r="C1" s="70"/>
      <c r="D1" s="48"/>
      <c r="E1" s="41"/>
      <c r="F1" s="32"/>
      <c r="G1" s="32"/>
      <c r="H1" s="32"/>
      <c r="I1" s="32"/>
    </row>
    <row r="2" spans="1:9" ht="16.8" thickBot="1" x14ac:dyDescent="0.3">
      <c r="A2" s="34"/>
      <c r="B2" s="42" t="s">
        <v>9</v>
      </c>
      <c r="C2" s="43" t="s">
        <v>0</v>
      </c>
      <c r="D2" s="51">
        <f>ROUND(((C3/B3)*5)+1,2)</f>
        <v>1</v>
      </c>
      <c r="F2" s="35"/>
      <c r="G2" s="35"/>
      <c r="H2" s="35"/>
      <c r="I2" s="35"/>
    </row>
    <row r="3" spans="1:9" ht="16.8" thickBot="1" x14ac:dyDescent="0.3">
      <c r="A3" s="36"/>
      <c r="B3" s="45">
        <f>B4+B8</f>
        <v>34</v>
      </c>
      <c r="C3" s="45">
        <f>C4+C8-C23</f>
        <v>0</v>
      </c>
      <c r="D3" s="49" t="s">
        <v>10</v>
      </c>
      <c r="E3" s="44" t="s">
        <v>13</v>
      </c>
      <c r="F3" s="35"/>
      <c r="G3" s="35"/>
      <c r="H3" s="35"/>
      <c r="I3" s="35"/>
    </row>
    <row r="4" spans="1:9" ht="17.399999999999999" thickBot="1" x14ac:dyDescent="0.3">
      <c r="A4" s="37" t="s">
        <v>21</v>
      </c>
      <c r="B4" s="53">
        <f>SUM(B5:B7)</f>
        <v>6</v>
      </c>
      <c r="C4" s="53">
        <f>SUM(C5:C7)</f>
        <v>0</v>
      </c>
      <c r="D4" s="50"/>
      <c r="E4" s="60"/>
      <c r="F4" s="35"/>
      <c r="G4" s="35"/>
      <c r="H4" s="35"/>
      <c r="I4" s="35"/>
    </row>
    <row r="5" spans="1:9" ht="16.2" x14ac:dyDescent="0.25">
      <c r="A5" s="38" t="s">
        <v>11</v>
      </c>
      <c r="B5" s="56">
        <v>2</v>
      </c>
      <c r="C5" s="57">
        <v>0</v>
      </c>
      <c r="D5" s="52"/>
      <c r="E5" s="61"/>
      <c r="F5" s="35"/>
      <c r="G5" s="35"/>
      <c r="H5" s="35"/>
      <c r="I5" s="35"/>
    </row>
    <row r="6" spans="1:9" ht="16.2" x14ac:dyDescent="0.25">
      <c r="A6" s="38" t="s">
        <v>24</v>
      </c>
      <c r="B6" s="55">
        <v>2</v>
      </c>
      <c r="C6" s="58">
        <v>0</v>
      </c>
      <c r="D6" s="52"/>
      <c r="E6" s="61"/>
      <c r="F6" s="35"/>
      <c r="G6" s="35"/>
      <c r="H6" s="35"/>
      <c r="I6" s="35"/>
    </row>
    <row r="7" spans="1:9" ht="16.8" thickBot="1" x14ac:dyDescent="0.3">
      <c r="A7" s="38" t="s">
        <v>12</v>
      </c>
      <c r="B7" s="55">
        <v>2</v>
      </c>
      <c r="C7" s="58">
        <v>0</v>
      </c>
      <c r="D7" s="52"/>
      <c r="E7" s="61"/>
      <c r="F7" s="35"/>
      <c r="G7" s="35"/>
      <c r="H7" s="35"/>
      <c r="I7" s="35"/>
    </row>
    <row r="8" spans="1:9" ht="17.399999999999999" thickBot="1" x14ac:dyDescent="0.3">
      <c r="A8" s="37" t="s">
        <v>14</v>
      </c>
      <c r="B8" s="53">
        <f>SUM(B9:B22)</f>
        <v>28</v>
      </c>
      <c r="C8" s="54">
        <f>SUM(C9:C22)-C23</f>
        <v>0</v>
      </c>
      <c r="D8" s="50"/>
      <c r="E8" s="60"/>
      <c r="F8" s="35"/>
      <c r="G8" s="35"/>
      <c r="H8" s="35"/>
      <c r="I8" s="35"/>
    </row>
    <row r="9" spans="1:9" ht="16.2" x14ac:dyDescent="0.25">
      <c r="A9" s="38" t="s">
        <v>15</v>
      </c>
      <c r="B9" s="56">
        <v>1</v>
      </c>
      <c r="C9" s="57">
        <v>0</v>
      </c>
      <c r="D9" s="52"/>
      <c r="E9" s="61"/>
      <c r="F9" s="35"/>
      <c r="G9" s="35"/>
      <c r="H9" s="35"/>
      <c r="I9" s="35"/>
    </row>
    <row r="10" spans="1:9" ht="16.2" x14ac:dyDescent="0.25">
      <c r="A10" s="38" t="s">
        <v>16</v>
      </c>
      <c r="B10" s="55">
        <v>1</v>
      </c>
      <c r="C10" s="58">
        <v>0</v>
      </c>
      <c r="D10" s="52"/>
      <c r="E10" s="61"/>
      <c r="F10" s="35"/>
      <c r="G10" s="35"/>
      <c r="H10" s="35"/>
      <c r="I10" s="35"/>
    </row>
    <row r="11" spans="1:9" ht="16.2" x14ac:dyDescent="0.25">
      <c r="A11" s="38" t="s">
        <v>19</v>
      </c>
      <c r="B11" s="55">
        <v>1</v>
      </c>
      <c r="C11" s="58">
        <v>0</v>
      </c>
      <c r="D11" s="52"/>
      <c r="E11" s="61"/>
      <c r="F11" s="35"/>
      <c r="G11" s="35"/>
      <c r="H11" s="35"/>
      <c r="I11" s="35"/>
    </row>
    <row r="12" spans="1:9" ht="16.2" x14ac:dyDescent="0.25">
      <c r="A12" s="38" t="s">
        <v>25</v>
      </c>
      <c r="B12" s="55">
        <v>3</v>
      </c>
      <c r="C12" s="58">
        <v>0</v>
      </c>
      <c r="D12" s="52"/>
      <c r="E12" s="61"/>
      <c r="F12" s="35"/>
      <c r="G12" s="35"/>
      <c r="H12" s="35"/>
      <c r="I12" s="35"/>
    </row>
    <row r="13" spans="1:9" ht="16.2" x14ac:dyDescent="0.25">
      <c r="A13" s="38" t="s">
        <v>17</v>
      </c>
      <c r="B13" s="55">
        <v>2</v>
      </c>
      <c r="C13" s="58">
        <v>0</v>
      </c>
      <c r="D13" s="52"/>
      <c r="E13" s="61"/>
      <c r="F13" s="35"/>
      <c r="G13" s="35"/>
      <c r="H13" s="35"/>
      <c r="I13" s="35"/>
    </row>
    <row r="14" spans="1:9" ht="16.2" x14ac:dyDescent="0.25">
      <c r="A14" s="38" t="s">
        <v>26</v>
      </c>
      <c r="B14" s="67">
        <v>2</v>
      </c>
      <c r="C14" s="68">
        <v>0</v>
      </c>
      <c r="D14" s="52"/>
      <c r="E14" s="61"/>
      <c r="F14" s="35"/>
      <c r="G14" s="35"/>
      <c r="H14" s="35"/>
      <c r="I14" s="35"/>
    </row>
    <row r="15" spans="1:9" ht="16.2" x14ac:dyDescent="0.25">
      <c r="A15" s="38" t="s">
        <v>27</v>
      </c>
      <c r="B15" s="46">
        <v>2</v>
      </c>
      <c r="C15" s="59">
        <v>0</v>
      </c>
      <c r="D15" s="52"/>
      <c r="E15" s="61"/>
      <c r="F15" s="35"/>
      <c r="G15" s="35"/>
      <c r="H15" s="35"/>
      <c r="I15" s="35"/>
    </row>
    <row r="16" spans="1:9" ht="16.2" x14ac:dyDescent="0.25">
      <c r="A16" s="38" t="s">
        <v>28</v>
      </c>
      <c r="B16" s="46">
        <v>3</v>
      </c>
      <c r="C16" s="59">
        <v>0</v>
      </c>
      <c r="D16" s="52"/>
      <c r="E16" s="61"/>
      <c r="F16" s="35"/>
      <c r="G16" s="35"/>
      <c r="H16" s="35"/>
      <c r="I16" s="35"/>
    </row>
    <row r="17" spans="1:9" ht="16.2" x14ac:dyDescent="0.25">
      <c r="A17" s="38" t="s">
        <v>29</v>
      </c>
      <c r="B17" s="46">
        <v>2</v>
      </c>
      <c r="C17" s="59">
        <v>0</v>
      </c>
      <c r="D17" s="52"/>
      <c r="E17" s="61"/>
      <c r="F17" s="39"/>
      <c r="G17" s="39"/>
      <c r="H17" s="39"/>
      <c r="I17" s="39"/>
    </row>
    <row r="18" spans="1:9" ht="16.2" x14ac:dyDescent="0.25">
      <c r="A18" s="38" t="s">
        <v>18</v>
      </c>
      <c r="B18" s="46">
        <v>2</v>
      </c>
      <c r="C18" s="59">
        <v>0</v>
      </c>
      <c r="D18" s="62"/>
      <c r="E18" s="63"/>
      <c r="F18" s="39"/>
      <c r="G18" s="39"/>
      <c r="H18" s="39"/>
      <c r="I18" s="39"/>
    </row>
    <row r="19" spans="1:9" ht="16.5" customHeight="1" x14ac:dyDescent="0.25">
      <c r="A19" s="40" t="s">
        <v>30</v>
      </c>
      <c r="B19" s="47">
        <v>3</v>
      </c>
      <c r="C19" s="59">
        <v>0</v>
      </c>
      <c r="D19" s="62"/>
      <c r="E19" s="63"/>
      <c r="F19" s="39"/>
      <c r="G19" s="39"/>
      <c r="H19" s="39"/>
      <c r="I19" s="39"/>
    </row>
    <row r="20" spans="1:9" ht="16.2" x14ac:dyDescent="0.25">
      <c r="A20" s="38" t="s">
        <v>31</v>
      </c>
      <c r="B20" s="46">
        <v>2</v>
      </c>
      <c r="C20" s="59">
        <v>0</v>
      </c>
      <c r="D20" s="52"/>
      <c r="E20" s="61"/>
      <c r="F20" s="35"/>
      <c r="G20" s="35"/>
      <c r="H20" s="35"/>
      <c r="I20" s="35"/>
    </row>
    <row r="21" spans="1:9" ht="16.2" x14ac:dyDescent="0.25">
      <c r="A21" s="38" t="s">
        <v>32</v>
      </c>
      <c r="B21" s="46">
        <v>1</v>
      </c>
      <c r="C21" s="59"/>
      <c r="D21" s="52"/>
      <c r="E21" s="63"/>
      <c r="F21" s="35"/>
      <c r="G21" s="35"/>
      <c r="H21" s="35"/>
      <c r="I21" s="35"/>
    </row>
    <row r="22" spans="1:9" ht="16.2" x14ac:dyDescent="0.25">
      <c r="A22" s="64" t="s">
        <v>20</v>
      </c>
      <c r="B22" s="46">
        <v>3</v>
      </c>
      <c r="C22" s="59">
        <v>0</v>
      </c>
      <c r="D22" s="52"/>
      <c r="E22" s="63"/>
      <c r="F22" s="35"/>
      <c r="G22" s="35"/>
      <c r="H22" s="35"/>
      <c r="I22" s="35"/>
    </row>
    <row r="23" spans="1:9" ht="36" customHeight="1" x14ac:dyDescent="0.25">
      <c r="A23" s="64" t="s">
        <v>22</v>
      </c>
      <c r="B23" s="46">
        <v>3</v>
      </c>
      <c r="C23" s="59">
        <v>0</v>
      </c>
      <c r="D23" s="52"/>
      <c r="E23" s="63"/>
      <c r="F23" s="35"/>
      <c r="G23" s="35"/>
      <c r="H23" s="35"/>
      <c r="I23" s="35"/>
    </row>
    <row r="24" spans="1:9" x14ac:dyDescent="0.25">
      <c r="A24" s="65"/>
      <c r="B24" s="65"/>
      <c r="C24" s="65"/>
      <c r="D24" s="66"/>
      <c r="E24" s="65"/>
    </row>
  </sheetData>
  <mergeCells count="1">
    <mergeCell ref="B1:C1"/>
  </mergeCells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F5BADB6-FCC2-488E-8381-2509E535D096}"/>
</file>

<file path=customXml/itemProps2.xml><?xml version="1.0" encoding="utf-8"?>
<ds:datastoreItem xmlns:ds="http://schemas.openxmlformats.org/officeDocument/2006/customXml" ds:itemID="{ADFB4774-E817-459D-A946-C7D9193F74CA}"/>
</file>

<file path=customXml/itemProps3.xml><?xml version="1.0" encoding="utf-8"?>
<ds:datastoreItem xmlns:ds="http://schemas.openxmlformats.org/officeDocument/2006/customXml" ds:itemID="{8CDD2B93-9B62-4DD9-BB4C-D255BF66B7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Intro</vt:lpstr>
      <vt:lpstr>Grille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Ferrari</dc:creator>
  <cp:lastModifiedBy>Antoine Mveng</cp:lastModifiedBy>
  <cp:lastPrinted>2016-10-03T10:25:40Z</cp:lastPrinted>
  <dcterms:created xsi:type="dcterms:W3CDTF">2002-01-31T16:50:36Z</dcterms:created>
  <dcterms:modified xsi:type="dcterms:W3CDTF">2021-09-10T07:18:39Z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